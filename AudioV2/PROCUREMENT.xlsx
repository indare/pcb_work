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発注リスト" sheetId="1" state="visible" r:id="rId1"/>
    <sheet name="生BOM(参考・親シート出力)" sheetId="2" state="visible" r:id="rId2"/>
  </sheets>
  <definedNames>
    <definedName name="_xlnm.Print_Titles" localSheetId="0">'発注リスト'!$5:$5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808080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FFFF00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top style="double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3" fontId="5" fillId="4" borderId="1" applyAlignment="1" pivotButton="0" quotePrefix="0" xfId="0">
      <alignment vertical="center"/>
    </xf>
    <xf numFmtId="3" fontId="5" fillId="0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0" fillId="0" borderId="6" pivotButton="0" quotePrefix="0" xfId="0"/>
    <xf numFmtId="0" fontId="6" fillId="0" borderId="6" pivotButton="0" quotePrefix="0" xfId="0"/>
    <xf numFmtId="3" fontId="6" fillId="0" borderId="6" pivotButton="0" quotePrefix="0" xfId="0"/>
    <xf numFmtId="0" fontId="3" fillId="2" borderId="1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6" customWidth="1" min="3" max="3"/>
    <col width="30" customWidth="1" min="4" max="4"/>
    <col width="6" customWidth="1" min="5" max="5"/>
    <col width="16" customWidth="1" min="6" max="6"/>
    <col width="16" customWidth="1" min="7" max="7"/>
    <col width="9" customWidth="1" min="8" max="8"/>
    <col width="10" customWidth="1" min="9" max="9"/>
    <col width="10" customWidth="1" min="10" max="10"/>
    <col width="8" customWidth="1" min="11" max="11"/>
    <col width="40" customWidth="1" min="12" max="12"/>
  </cols>
  <sheetData>
    <row r="1">
      <c r="A1" s="1" t="inlineStr">
        <is>
          <t>AudioV2 発注リスト（2026-09-02 作成）</t>
        </is>
      </c>
    </row>
    <row r="2">
      <c r="A2" s="2" t="inlineStr">
        <is>
          <t>黄色セルが未入力欄（単価・状態）。数量・参照・型番は回路図/PARTS.mdから機械的に導出。書き換えたら回路図とドキュメントを直すこと。</t>
        </is>
      </c>
    </row>
    <row r="3">
      <c r="A3" s="2" t="inlineStr">
        <is>
          <t>参照(designator)は再アノテーションで動く。この表は2026-09-01の回路図（AmpBank統合・+15V/-15V改名後）を基準にした値。</t>
        </is>
      </c>
    </row>
    <row r="5" ht="28" customHeight="1">
      <c r="A5" s="3" t="inlineStr">
        <is>
          <t>No.</t>
        </is>
      </c>
      <c r="B5" s="3" t="inlineStr">
        <is>
          <t>基板</t>
        </is>
      </c>
      <c r="C5" s="3" t="inlineStr">
        <is>
          <t>品目</t>
        </is>
      </c>
      <c r="D5" s="3" t="inlineStr">
        <is>
          <t>型番/仕様</t>
        </is>
      </c>
      <c r="E5" s="3" t="inlineStr">
        <is>
          <t>数量</t>
        </is>
      </c>
      <c r="F5" s="3" t="inlineStr">
        <is>
          <t>参照</t>
        </is>
      </c>
      <c r="G5" s="3" t="inlineStr">
        <is>
          <t>購入先候補</t>
        </is>
      </c>
      <c r="H5" s="3" t="inlineStr">
        <is>
          <t>単価(円)</t>
        </is>
      </c>
      <c r="I5" s="3" t="inlineStr">
        <is>
          <t>小計(円)</t>
        </is>
      </c>
      <c r="J5" s="3" t="inlineStr">
        <is>
          <t>リンク</t>
        </is>
      </c>
      <c r="K5" s="3" t="inlineStr">
        <is>
          <t>状態</t>
        </is>
      </c>
      <c r="L5" s="3" t="inlineStr">
        <is>
          <t>備考</t>
        </is>
      </c>
    </row>
    <row r="6">
      <c r="A6" s="4" t="inlineStr">
        <is>
          <t>[PowerModule]</t>
        </is>
      </c>
      <c r="B6" s="4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6" t="n"/>
    </row>
    <row r="7">
      <c r="A7" s="7" t="n">
        <v>1</v>
      </c>
      <c r="B7" s="7" t="inlineStr">
        <is>
          <t>PowerModule</t>
        </is>
      </c>
      <c r="C7" s="7" t="inlineStr">
        <is>
          <t>絶縁型DC-DCコンバータ</t>
        </is>
      </c>
      <c r="D7" s="8" t="inlineStr">
        <is>
          <t>Mean Well DKMW20F-15（±15V/±660mA、DIP 1inx1in）</t>
        </is>
      </c>
      <c r="E7" s="7" t="n">
        <v>1</v>
      </c>
      <c r="F7" s="7" t="inlineStr">
        <is>
          <t>U201</t>
        </is>
      </c>
      <c r="G7" s="7" t="inlineStr">
        <is>
          <t>Mouser/Digikey/秋月</t>
        </is>
      </c>
      <c r="H7" s="9" t="n"/>
      <c r="I7" s="10">
        <f>E7*H7</f>
        <v/>
      </c>
      <c r="J7" s="7" t="inlineStr"/>
      <c r="K7" s="11" t="n"/>
      <c r="L7" s="8" t="inlineStr">
        <is>
          <t>旧DKMW20F-12と同一外形。F-12在庫があれば流用不可（±12V品）</t>
        </is>
      </c>
    </row>
    <row r="8">
      <c r="A8" s="7" t="n">
        <v>2</v>
      </c>
      <c r="B8" s="7" t="inlineStr">
        <is>
          <t>PowerModule</t>
        </is>
      </c>
      <c r="C8" s="7" t="inlineStr">
        <is>
          <t>リニアレギュレータ +9V</t>
        </is>
      </c>
      <c r="D8" s="8" t="inlineStr">
        <is>
          <t>ST L7809CV（TO-220）</t>
        </is>
      </c>
      <c r="E8" s="7" t="n">
        <v>1</v>
      </c>
      <c r="F8" s="7" t="inlineStr">
        <is>
          <t>U202</t>
        </is>
      </c>
      <c r="G8" s="7" t="inlineStr">
        <is>
          <t>秋月/Digikey</t>
        </is>
      </c>
      <c r="H8" s="9" t="n"/>
      <c r="I8" s="10">
        <f>E8*H8</f>
        <v/>
      </c>
      <c r="J8" s="7" t="inlineStr"/>
      <c r="K8" s="11" t="n"/>
      <c r="L8" s="8" t="inlineStr">
        <is>
          <t>VCC_TONE(PT2314用)生成</t>
        </is>
      </c>
    </row>
    <row r="9">
      <c r="A9" s="7" t="n">
        <v>3</v>
      </c>
      <c r="B9" s="7" t="inlineStr">
        <is>
          <t>PowerModule</t>
        </is>
      </c>
      <c r="C9" s="7" t="inlineStr">
        <is>
          <t>ヒューズ 3A slow-blow</t>
        </is>
      </c>
      <c r="D9" s="8" t="inlineStr">
        <is>
          <t>5x20mm ガラス管スローブロー T3.15A</t>
        </is>
      </c>
      <c r="E9" s="7" t="n">
        <v>3</v>
      </c>
      <c r="F9" s="7" t="inlineStr">
        <is>
          <t>F201</t>
        </is>
      </c>
      <c r="G9" s="7" t="inlineStr">
        <is>
          <t>秋月/Digikey</t>
        </is>
      </c>
      <c r="H9" s="9" t="n"/>
      <c r="I9" s="10">
        <f>E9*H9</f>
        <v/>
      </c>
      <c r="J9" s="7" t="inlineStr"/>
      <c r="K9" s="11" t="n"/>
      <c r="L9" s="8" t="inlineStr">
        <is>
          <t>予備込みで3本。ホルダー別途</t>
        </is>
      </c>
    </row>
    <row r="10">
      <c r="A10" s="7" t="n">
        <v>4</v>
      </c>
      <c r="B10" s="7" t="inlineStr">
        <is>
          <t>PowerModule</t>
        </is>
      </c>
      <c r="C10" s="7" t="inlineStr">
        <is>
          <t>端子台 3P</t>
        </is>
      </c>
      <c r="D10" s="8" t="inlineStr">
        <is>
          <t>Phoenix Contact MKDS-1,5-3-5.08 相当</t>
        </is>
      </c>
      <c r="E10" s="7" t="n">
        <v>1</v>
      </c>
      <c r="F10" s="7" t="inlineStr">
        <is>
          <t>J201</t>
        </is>
      </c>
      <c r="G10" s="7" t="inlineStr">
        <is>
          <t>Digikey/Mouser</t>
        </is>
      </c>
      <c r="H10" s="9" t="n"/>
      <c r="I10" s="10">
        <f>E10*H10</f>
        <v/>
      </c>
      <c r="J10" s="7" t="inlineStr"/>
      <c r="K10" s="11" t="n"/>
      <c r="L10" s="8" t="inlineStr">
        <is>
          <t>+15V/A_GND/-15V out</t>
        </is>
      </c>
    </row>
    <row r="11">
      <c r="A11" s="7" t="n">
        <v>5</v>
      </c>
      <c r="B11" s="7" t="inlineStr">
        <is>
          <t>PowerModule</t>
        </is>
      </c>
      <c r="C11" s="7" t="inlineStr">
        <is>
          <t>端子台 2P</t>
        </is>
      </c>
      <c r="D11" s="8" t="inlineStr">
        <is>
          <t>Phoenix Contact MKDS-1,5-2-5.08 相当</t>
        </is>
      </c>
      <c r="E11" s="7" t="n">
        <v>2</v>
      </c>
      <c r="F11" s="7" t="inlineStr">
        <is>
          <t>J202,J203</t>
        </is>
      </c>
      <c r="G11" s="7" t="inlineStr">
        <is>
          <t>Digikey/Mouser</t>
        </is>
      </c>
      <c r="H11" s="9" t="n"/>
      <c r="I11" s="10">
        <f>E11*H11</f>
        <v/>
      </c>
      <c r="J11" s="7" t="inlineStr"/>
      <c r="K11" s="11" t="n"/>
      <c r="L11" s="8" t="inlineStr">
        <is>
          <t>PD module in、VCC_TONE OUT 各1</t>
        </is>
      </c>
    </row>
    <row r="12">
      <c r="A12" s="7" t="n">
        <v>6</v>
      </c>
      <c r="B12" s="7" t="inlineStr">
        <is>
          <t>PowerModule</t>
        </is>
      </c>
      <c r="C12" s="7" t="inlineStr">
        <is>
          <t>電解コンデンサ 47uF</t>
        </is>
      </c>
      <c r="D12" s="8" t="inlineStr">
        <is>
          <t>汎用（耐圧35V以上推奨）</t>
        </is>
      </c>
      <c r="E12" s="7" t="n">
        <v>3</v>
      </c>
      <c r="F12" s="7" t="inlineStr">
        <is>
          <t>C201,C205,C207</t>
        </is>
      </c>
      <c r="G12" s="7" t="inlineStr">
        <is>
          <t>秋月/Digikey</t>
        </is>
      </c>
      <c r="H12" s="9" t="n"/>
      <c r="I12" s="10">
        <f>E12*H12</f>
        <v/>
      </c>
      <c r="J12" s="7" t="inlineStr"/>
      <c r="K12" s="11" t="n"/>
      <c r="L12" s="8" t="inlineStr"/>
    </row>
    <row r="13">
      <c r="A13" s="7" t="n">
        <v>7</v>
      </c>
      <c r="B13" s="7" t="inlineStr">
        <is>
          <t>PowerModule</t>
        </is>
      </c>
      <c r="C13" s="7" t="inlineStr">
        <is>
          <t>積層セラミックコンデンサ 0.1uF</t>
        </is>
      </c>
      <c r="D13" s="8" t="inlineStr">
        <is>
          <t>汎用 50V</t>
        </is>
      </c>
      <c r="E13" s="7" t="n">
        <v>4</v>
      </c>
      <c r="F13" s="7" t="inlineStr">
        <is>
          <t>C202,C204,C206,C208</t>
        </is>
      </c>
      <c r="G13" s="7" t="inlineStr">
        <is>
          <t>秋月/Digikey</t>
        </is>
      </c>
      <c r="H13" s="9" t="n"/>
      <c r="I13" s="10">
        <f>E13*H13</f>
        <v/>
      </c>
      <c r="J13" s="7" t="inlineStr"/>
      <c r="K13" s="11" t="n"/>
      <c r="L13" s="8" t="inlineStr"/>
    </row>
    <row r="14">
      <c r="A14" s="7" t="n">
        <v>8</v>
      </c>
      <c r="B14" s="7" t="inlineStr">
        <is>
          <t>PowerModule</t>
        </is>
      </c>
      <c r="C14" s="7" t="inlineStr">
        <is>
          <t>電解コンデンサ 10uF</t>
        </is>
      </c>
      <c r="D14" s="8" t="inlineStr">
        <is>
          <t>汎用（耐圧25V以上）</t>
        </is>
      </c>
      <c r="E14" s="7" t="n">
        <v>1</v>
      </c>
      <c r="F14" s="7" t="inlineStr">
        <is>
          <t>C203</t>
        </is>
      </c>
      <c r="G14" s="7" t="inlineStr">
        <is>
          <t>秋月/Digikey</t>
        </is>
      </c>
      <c r="H14" s="9" t="n"/>
      <c r="I14" s="10">
        <f>E14*H14</f>
        <v/>
      </c>
      <c r="J14" s="7" t="inlineStr"/>
      <c r="K14" s="11" t="n"/>
      <c r="L14" s="8" t="inlineStr"/>
    </row>
    <row r="15">
      <c r="A15" s="7" t="n">
        <v>9</v>
      </c>
      <c r="B15" s="7" t="inlineStr">
        <is>
          <t>PowerModule</t>
        </is>
      </c>
      <c r="C15" s="7" t="inlineStr">
        <is>
          <t>USB PDトリガーモジュール</t>
        </is>
      </c>
      <c r="D15" s="8" t="inlineStr">
        <is>
          <t>50224 相当（12V出力、外付け）</t>
        </is>
      </c>
      <c r="E15" s="7" t="n">
        <v>1</v>
      </c>
      <c r="F15" s="7" t="inlineStr">
        <is>
          <t>(回路図外)</t>
        </is>
      </c>
      <c r="G15" s="7" t="inlineStr">
        <is>
          <t>秋月/AliExpress</t>
        </is>
      </c>
      <c r="H15" s="9" t="n"/>
      <c r="I15" s="10">
        <f>E15*H15</f>
        <v/>
      </c>
      <c r="J15" s="7" t="inlineStr"/>
      <c r="K15" s="11" t="n"/>
      <c r="L15" s="8" t="inlineStr">
        <is>
          <t>任意。オンボードCH224は不採用（PARTS.md §2.1）</t>
        </is>
      </c>
    </row>
    <row r="16">
      <c r="A16" s="4" t="inlineStr">
        <is>
          <t>[ControlPanel]</t>
        </is>
      </c>
      <c r="B16" s="4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6" t="n"/>
    </row>
    <row r="17">
      <c r="A17" s="7" t="n">
        <v>10</v>
      </c>
      <c r="B17" s="7" t="inlineStr">
        <is>
          <t>ControlPanel</t>
        </is>
      </c>
      <c r="C17" s="7" t="inlineStr">
        <is>
          <t>MCU モジュール</t>
        </is>
      </c>
      <c r="D17" s="8" t="inlineStr">
        <is>
          <t>Raspberry Pi Pico 2（RP2350、Wなし、SC0915相当）</t>
        </is>
      </c>
      <c r="E17" s="7" t="n">
        <v>1</v>
      </c>
      <c r="F17" s="7" t="inlineStr">
        <is>
          <t>U501</t>
        </is>
      </c>
      <c r="G17" s="7" t="inlineStr">
        <is>
          <t>秋月/スイッチサイエンス</t>
        </is>
      </c>
      <c r="H17" s="9" t="n"/>
      <c r="I17" s="10">
        <f>E17*H17</f>
        <v/>
      </c>
      <c r="J17" s="7" t="inlineStr"/>
      <c r="K17" s="11" t="n"/>
      <c r="L17" s="8" t="inlineStr"/>
    </row>
    <row r="18">
      <c r="A18" s="7" t="n">
        <v>11</v>
      </c>
      <c r="B18" s="7" t="inlineStr">
        <is>
          <t>ControlPanel</t>
        </is>
      </c>
      <c r="C18" s="7" t="inlineStr">
        <is>
          <t>音量/トーンIC</t>
        </is>
      </c>
      <c r="D18" s="8" t="inlineStr">
        <is>
          <t>PT2314-D（DIP-28）</t>
        </is>
      </c>
      <c r="E18" s="7" t="n">
        <v>1</v>
      </c>
      <c r="F18" s="7" t="inlineStr">
        <is>
          <t>U502</t>
        </is>
      </c>
      <c r="G18" s="7" t="inlineStr">
        <is>
          <t>LCSC/モジュール屋</t>
        </is>
      </c>
      <c r="H18" s="9" t="n"/>
      <c r="I18" s="10">
        <f>E18*H18</f>
        <v/>
      </c>
      <c r="J18" s="7" t="inlineStr"/>
      <c r="K18" s="11" t="n"/>
      <c r="L18" s="8" t="inlineStr">
        <is>
          <t>DigiKeyに無いことが多い。DIPソケット推奨</t>
        </is>
      </c>
    </row>
    <row r="19">
      <c r="A19" s="7" t="n">
        <v>12</v>
      </c>
      <c r="B19" s="7" t="inlineStr">
        <is>
          <t>ControlPanel</t>
        </is>
      </c>
      <c r="C19" s="7" t="inlineStr">
        <is>
          <t>5V降圧レギュレータモジュール</t>
        </is>
      </c>
      <c r="D19" s="8" t="inlineStr">
        <is>
          <t>ROHM BP5293-50</t>
        </is>
      </c>
      <c r="E19" s="7" t="n">
        <v>1</v>
      </c>
      <c r="F19" s="7" t="inlineStr">
        <is>
          <t>U503</t>
        </is>
      </c>
      <c r="G19" s="7" t="inlineStr">
        <is>
          <t>秋月 111188</t>
        </is>
      </c>
      <c r="H19" s="9" t="n"/>
      <c r="I19" s="10">
        <f>E19*H19</f>
        <v/>
      </c>
      <c r="J19" s="7" t="inlineStr"/>
      <c r="K19" s="11" t="n"/>
      <c r="L19" s="8" t="inlineStr"/>
    </row>
    <row r="20">
      <c r="A20" s="7" t="n">
        <v>13</v>
      </c>
      <c r="B20" s="7" t="inlineStr">
        <is>
          <t>ControlPanel</t>
        </is>
      </c>
      <c r="C20" s="7" t="inlineStr">
        <is>
          <t>ロータリーエンコーダー</t>
        </is>
      </c>
      <c r="D20" s="8" t="inlineStr">
        <is>
          <t>EC11系・押しSW付・Dカット・固定足東西</t>
        </is>
      </c>
      <c r="E20" s="7" t="n">
        <v>3</v>
      </c>
      <c r="F20" s="7" t="inlineStr">
        <is>
          <t>ENC501-503</t>
        </is>
      </c>
      <c r="G20" s="7" t="inlineStr">
        <is>
          <t>秋月</t>
        </is>
      </c>
      <c r="H20" s="9" t="n"/>
      <c r="I20" s="10">
        <f>E20*H20</f>
        <v/>
      </c>
      <c r="J20" s="7" t="inlineStr"/>
      <c r="K20" s="11" t="n"/>
      <c r="L20" s="8" t="inlineStr">
        <is>
          <t>CH/BASS/TREBLE用</t>
        </is>
      </c>
    </row>
    <row r="21">
      <c r="A21" s="7" t="n">
        <v>14</v>
      </c>
      <c r="B21" s="7" t="inlineStr">
        <is>
          <t>ControlPanel</t>
        </is>
      </c>
      <c r="C21" s="7" t="inlineStr">
        <is>
          <t>OLEDディスプレイ</t>
        </is>
      </c>
      <c r="D21" s="8" t="inlineStr">
        <is>
          <t>2.42インチ 128x64 I2C（SSD1309/SSD1306互換）</t>
        </is>
      </c>
      <c r="E21" s="7" t="n">
        <v>1</v>
      </c>
      <c r="F21" s="7" t="inlineStr">
        <is>
          <t>J_OLED501</t>
        </is>
      </c>
      <c r="G21" s="7" t="inlineStr">
        <is>
          <t>AliExpress item 4000002579405</t>
        </is>
      </c>
      <c r="H21" s="9" t="n"/>
      <c r="I21" s="10">
        <f>E21*H21</f>
        <v/>
      </c>
      <c r="J21" s="7" t="inlineStr">
        <is>
          <t>https://a.aliexpress.com/_c3yp3JiX</t>
        </is>
      </c>
      <c r="K21" s="11" t="n"/>
      <c r="L21" s="8" t="inlineStr"/>
    </row>
    <row r="22">
      <c r="A22" s="7" t="n">
        <v>15</v>
      </c>
      <c r="B22" s="7" t="inlineStr">
        <is>
          <t>ControlPanel</t>
        </is>
      </c>
      <c r="C22" s="7" t="inlineStr">
        <is>
          <t>パネルSW</t>
        </is>
      </c>
      <c r="D22" s="8" t="inlineStr">
        <is>
          <t>C&amp;K 7101SYZQE（SPDT ON-ON、5A）をSPSTとして使用</t>
        </is>
      </c>
      <c r="E22" s="7" t="n">
        <v>1</v>
      </c>
      <c r="F22" s="7" t="inlineStr">
        <is>
          <t>SW502</t>
        </is>
      </c>
      <c r="G22" s="7" t="inlineStr">
        <is>
          <t>Digikey/Mouser</t>
        </is>
      </c>
      <c r="H22" s="9" t="n"/>
      <c r="I22" s="10">
        <f>E22*H22</f>
        <v/>
      </c>
      <c r="J22" s="7" t="inlineStr"/>
      <c r="K22" s="11" t="n"/>
      <c r="L22" s="8" t="inlineStr">
        <is>
          <t>電源パネルSW</t>
        </is>
      </c>
    </row>
    <row r="23">
      <c r="A23" s="7" t="n">
        <v>16</v>
      </c>
      <c r="B23" s="7" t="inlineStr">
        <is>
          <t>ControlPanel</t>
        </is>
      </c>
      <c r="C23" s="7" t="inlineStr">
        <is>
          <t>LED 3mm</t>
        </is>
      </c>
      <c r="D23" s="8" t="inlineStr">
        <is>
          <t>通常LED Vf≈2V（DEST表示×2）</t>
        </is>
      </c>
      <c r="E23" s="7" t="n">
        <v>2</v>
      </c>
      <c r="F23" s="7" t="inlineStr">
        <is>
          <t>D501,D502</t>
        </is>
      </c>
      <c r="G23" s="7" t="inlineStr">
        <is>
          <t>秋月</t>
        </is>
      </c>
      <c r="H23" s="9" t="n"/>
      <c r="I23" s="10">
        <f>E23*H23</f>
        <v/>
      </c>
      <c r="J23" s="7" t="inlineStr"/>
      <c r="K23" s="11" t="n"/>
      <c r="L23" s="8" t="inlineStr">
        <is>
          <t>直列1kΩ、暗ければ330Ωへ</t>
        </is>
      </c>
    </row>
    <row r="24">
      <c r="A24" s="7" t="n">
        <v>17</v>
      </c>
      <c r="B24" s="7" t="inlineStr">
        <is>
          <t>ControlPanel</t>
        </is>
      </c>
      <c r="C24" s="7" t="inlineStr">
        <is>
          <t>LED 5mm 12V内蔵抵抗</t>
        </is>
      </c>
      <c r="D24" s="8" t="inlineStr">
        <is>
          <t>緑または青、~10mA</t>
        </is>
      </c>
      <c r="E24" s="7" t="n">
        <v>1</v>
      </c>
      <c r="F24" s="7" t="inlineStr">
        <is>
          <t>D503</t>
        </is>
      </c>
      <c r="G24" s="7" t="inlineStr">
        <is>
          <t>秋月</t>
        </is>
      </c>
      <c r="H24" s="9" t="n"/>
      <c r="I24" s="10">
        <f>E24*H24</f>
        <v/>
      </c>
      <c r="J24" s="7" t="inlineStr"/>
      <c r="K24" s="11" t="n"/>
      <c r="L24" s="8" t="inlineStr">
        <is>
          <t>パネル電源表示</t>
        </is>
      </c>
    </row>
    <row r="25">
      <c r="A25" s="7" t="n">
        <v>18</v>
      </c>
      <c r="B25" s="7" t="inlineStr">
        <is>
          <t>ControlPanel</t>
        </is>
      </c>
      <c r="C25" s="7" t="inlineStr">
        <is>
          <t>抵抗 4.7kΩ</t>
        </is>
      </c>
      <c r="D25" s="8" t="inlineStr">
        <is>
          <t>汎用（I2Cプルアップ）</t>
        </is>
      </c>
      <c r="E25" s="7" t="n">
        <v>2</v>
      </c>
      <c r="F25" s="7" t="inlineStr">
        <is>
          <t>R501,R502</t>
        </is>
      </c>
      <c r="G25" s="7" t="inlineStr">
        <is>
          <t>秋月/Digikey</t>
        </is>
      </c>
      <c r="H25" s="9" t="n"/>
      <c r="I25" s="10">
        <f>E25*H25</f>
        <v/>
      </c>
      <c r="J25" s="7" t="inlineStr"/>
      <c r="K25" s="11" t="n"/>
      <c r="L25" s="8" t="inlineStr"/>
    </row>
    <row r="26">
      <c r="A26" s="7" t="n">
        <v>19</v>
      </c>
      <c r="B26" s="7" t="inlineStr">
        <is>
          <t>ControlPanel</t>
        </is>
      </c>
      <c r="C26" s="7" t="inlineStr">
        <is>
          <t>抵抗 1kΩ</t>
        </is>
      </c>
      <c r="D26" s="8" t="inlineStr">
        <is>
          <t>汎用</t>
        </is>
      </c>
      <c r="E26" s="7" t="n">
        <v>4</v>
      </c>
      <c r="F26" s="7" t="inlineStr">
        <is>
          <t>R503,R504,R508,R509</t>
        </is>
      </c>
      <c r="G26" s="7" t="inlineStr">
        <is>
          <t>秋月/Digikey</t>
        </is>
      </c>
      <c r="H26" s="9" t="n"/>
      <c r="I26" s="10">
        <f>E26*H26</f>
        <v/>
      </c>
      <c r="J26" s="7" t="inlineStr"/>
      <c r="K26" s="11" t="n"/>
      <c r="L26" s="8" t="inlineStr"/>
    </row>
    <row r="27">
      <c r="A27" s="7" t="n">
        <v>20</v>
      </c>
      <c r="B27" s="7" t="inlineStr">
        <is>
          <t>ControlPanel</t>
        </is>
      </c>
      <c r="C27" s="7" t="inlineStr">
        <is>
          <t>抵抗 10kΩ</t>
        </is>
      </c>
      <c r="D27" s="8" t="inlineStr">
        <is>
          <t>汎用</t>
        </is>
      </c>
      <c r="E27" s="7" t="n">
        <v>2</v>
      </c>
      <c r="F27" s="7" t="inlineStr">
        <is>
          <t>R505,R506</t>
        </is>
      </c>
      <c r="G27" s="7" t="inlineStr">
        <is>
          <t>秋月/Digikey</t>
        </is>
      </c>
      <c r="H27" s="9" t="n"/>
      <c r="I27" s="10">
        <f>E27*H27</f>
        <v/>
      </c>
      <c r="J27" s="7" t="inlineStr"/>
      <c r="K27" s="11" t="n"/>
      <c r="L27" s="8" t="inlineStr"/>
    </row>
    <row r="28">
      <c r="A28" s="7" t="n">
        <v>21</v>
      </c>
      <c r="B28" s="7" t="inlineStr">
        <is>
          <t>ControlPanel</t>
        </is>
      </c>
      <c r="C28" s="7" t="inlineStr">
        <is>
          <t>抵抗 5.6kΩ</t>
        </is>
      </c>
      <c r="D28" s="8" t="inlineStr">
        <is>
          <t>汎用</t>
        </is>
      </c>
      <c r="E28" s="7" t="n">
        <v>1</v>
      </c>
      <c r="F28" s="7" t="inlineStr">
        <is>
          <t>R507</t>
        </is>
      </c>
      <c r="G28" s="7" t="inlineStr">
        <is>
          <t>秋月/Digikey</t>
        </is>
      </c>
      <c r="H28" s="9" t="n"/>
      <c r="I28" s="10">
        <f>E28*H28</f>
        <v/>
      </c>
      <c r="J28" s="7" t="inlineStr"/>
      <c r="K28" s="11" t="n"/>
      <c r="L28" s="8" t="inlineStr"/>
    </row>
    <row r="29">
      <c r="A29" s="7" t="n">
        <v>22</v>
      </c>
      <c r="B29" s="7" t="inlineStr">
        <is>
          <t>ControlPanel</t>
        </is>
      </c>
      <c r="C29" s="7" t="inlineStr">
        <is>
          <t>抵抗 2.4kΩ</t>
        </is>
      </c>
      <c r="D29" s="8" t="inlineStr">
        <is>
          <t>汎用（DESTラダー）</t>
        </is>
      </c>
      <c r="E29" s="7" t="n">
        <v>6</v>
      </c>
      <c r="F29" s="7" t="inlineStr">
        <is>
          <t>R510-R515</t>
        </is>
      </c>
      <c r="G29" s="7" t="inlineStr">
        <is>
          <t>秋月/Digikey</t>
        </is>
      </c>
      <c r="H29" s="9" t="n"/>
      <c r="I29" s="10">
        <f>E29*H29</f>
        <v/>
      </c>
      <c r="J29" s="7" t="inlineStr"/>
      <c r="K29" s="11" t="n"/>
      <c r="L29" s="8" t="inlineStr"/>
    </row>
    <row r="30">
      <c r="A30" s="7" t="n">
        <v>23</v>
      </c>
      <c r="B30" s="7" t="inlineStr">
        <is>
          <t>ControlPanel</t>
        </is>
      </c>
      <c r="C30" s="7" t="inlineStr">
        <is>
          <t>電解コンデンサ 22uF</t>
        </is>
      </c>
      <c r="D30" s="8" t="inlineStr">
        <is>
          <t>汎用</t>
        </is>
      </c>
      <c r="E30" s="7" t="n">
        <v>1</v>
      </c>
      <c r="F30" s="7" t="inlineStr">
        <is>
          <t>C501</t>
        </is>
      </c>
      <c r="G30" s="7" t="inlineStr">
        <is>
          <t>秋月/Digikey</t>
        </is>
      </c>
      <c r="H30" s="9" t="n"/>
      <c r="I30" s="10">
        <f>E30*H30</f>
        <v/>
      </c>
      <c r="J30" s="7" t="inlineStr"/>
      <c r="K30" s="11" t="n"/>
      <c r="L30" s="8" t="inlineStr"/>
    </row>
    <row r="31">
      <c r="A31" s="7" t="n">
        <v>24</v>
      </c>
      <c r="B31" s="7" t="inlineStr">
        <is>
          <t>ControlPanel</t>
        </is>
      </c>
      <c r="C31" s="7" t="inlineStr">
        <is>
          <t>積層セラミックコンデンサ 100nF</t>
        </is>
      </c>
      <c r="D31" s="8" t="inlineStr">
        <is>
          <t>汎用 50V</t>
        </is>
      </c>
      <c r="E31" s="7" t="n">
        <v>4</v>
      </c>
      <c r="F31" s="7" t="inlineStr">
        <is>
          <t>C503,C504,C510,C511</t>
        </is>
      </c>
      <c r="G31" s="7" t="inlineStr">
        <is>
          <t>秋月/Digikey</t>
        </is>
      </c>
      <c r="H31" s="9" t="n"/>
      <c r="I31" s="10">
        <f>E31*H31</f>
        <v/>
      </c>
      <c r="J31" s="7" t="inlineStr"/>
      <c r="K31" s="11" t="n"/>
      <c r="L31" s="8" t="inlineStr"/>
    </row>
    <row r="32">
      <c r="A32" s="7" t="n">
        <v>25</v>
      </c>
      <c r="B32" s="7" t="inlineStr">
        <is>
          <t>ControlPanel</t>
        </is>
      </c>
      <c r="C32" s="7" t="inlineStr">
        <is>
          <t>コンデンサ 2.2uF</t>
        </is>
      </c>
      <c r="D32" s="8" t="inlineStr">
        <is>
          <t>フィルムまたは積セラ</t>
        </is>
      </c>
      <c r="E32" s="7" t="n">
        <v>4</v>
      </c>
      <c r="F32" s="7" t="inlineStr">
        <is>
          <t>C505,C506,C507,C509</t>
        </is>
      </c>
      <c r="G32" s="7" t="inlineStr">
        <is>
          <t>秋月/Digikey</t>
        </is>
      </c>
      <c r="H32" s="9" t="n"/>
      <c r="I32" s="10">
        <f>E32*H32</f>
        <v/>
      </c>
      <c r="J32" s="7" t="inlineStr"/>
      <c r="K32" s="11" t="n"/>
      <c r="L32" s="8" t="inlineStr"/>
    </row>
    <row r="33">
      <c r="A33" s="7" t="n">
        <v>26</v>
      </c>
      <c r="B33" s="7" t="inlineStr">
        <is>
          <t>ControlPanel</t>
        </is>
      </c>
      <c r="C33" s="7" t="inlineStr">
        <is>
          <t>セラミックコンデンサ 2.7nF</t>
        </is>
      </c>
      <c r="D33" s="8" t="inlineStr">
        <is>
          <t>汎用</t>
        </is>
      </c>
      <c r="E33" s="7" t="n">
        <v>2</v>
      </c>
      <c r="F33" s="7" t="inlineStr">
        <is>
          <t>C508,C512</t>
        </is>
      </c>
      <c r="G33" s="7" t="inlineStr">
        <is>
          <t>秋月/Digikey</t>
        </is>
      </c>
      <c r="H33" s="9" t="n"/>
      <c r="I33" s="10">
        <f>E33*H33</f>
        <v/>
      </c>
      <c r="J33" s="7" t="inlineStr"/>
      <c r="K33" s="11" t="n"/>
      <c r="L33" s="8" t="inlineStr"/>
    </row>
    <row r="34">
      <c r="A34" s="7" t="n">
        <v>27</v>
      </c>
      <c r="B34" s="7" t="inlineStr">
        <is>
          <t>ControlPanel</t>
        </is>
      </c>
      <c r="C34" s="7" t="inlineStr">
        <is>
          <t>I2C/電源コネクタ 5P</t>
        </is>
      </c>
      <c r="D34" s="8" t="inlineStr">
        <is>
          <t>Phoenix MKDS-1,5-5-5.08 相当</t>
        </is>
      </c>
      <c r="E34" s="7" t="n">
        <v>1</v>
      </c>
      <c r="F34" s="7" t="inlineStr">
        <is>
          <t>(回路図未配置)</t>
        </is>
      </c>
      <c r="G34" s="7" t="inlineStr">
        <is>
          <t>Digikey/Mouser</t>
        </is>
      </c>
      <c r="H34" s="9" t="n"/>
      <c r="I34" s="10">
        <f>E34*H34</f>
        <v/>
      </c>
      <c r="J34" s="7" t="inlineStr"/>
      <c r="K34" s="11" t="n"/>
      <c r="L34" s="8" t="inlineStr">
        <is>
          <t>ControlPanel側コネクタ未実装。AmpBank J_CTRLと対で必要</t>
        </is>
      </c>
    </row>
    <row r="35">
      <c r="A35" s="4" t="inlineStr">
        <is>
          <t>[OutputStage]</t>
        </is>
      </c>
      <c r="B35" s="4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6" t="n"/>
    </row>
    <row r="36">
      <c r="A36" s="7" t="n">
        <v>28</v>
      </c>
      <c r="B36" s="7" t="inlineStr">
        <is>
          <t>OutputStage</t>
        </is>
      </c>
      <c r="C36" s="7" t="inlineStr">
        <is>
          <t>音量ボリューム A50kΩ2連</t>
        </is>
      </c>
      <c r="D36" s="8" t="inlineStr">
        <is>
          <t>Alps RK27112A00CF</t>
        </is>
      </c>
      <c r="E36" s="7" t="n">
        <v>2</v>
      </c>
      <c r="F36" s="7" t="inlineStr">
        <is>
          <t>RV601,RV602</t>
        </is>
      </c>
      <c r="G36" s="7" t="inlineStr">
        <is>
          <t>Digikey/Mouser</t>
        </is>
      </c>
      <c r="H36" s="9" t="n"/>
      <c r="I36" s="10">
        <f>E36*H36</f>
        <v/>
      </c>
      <c r="J36" s="7" t="inlineStr"/>
      <c r="K36" s="11" t="n"/>
      <c r="L36" s="8" t="inlineStr">
        <is>
          <t>HP用・LINE用 各1</t>
        </is>
      </c>
    </row>
    <row r="37">
      <c r="A37" s="7" t="n">
        <v>29</v>
      </c>
      <c r="B37" s="7" t="inlineStr">
        <is>
          <t>OutputStage</t>
        </is>
      </c>
      <c r="C37" s="7" t="inlineStr">
        <is>
          <t>出力切替SW 3PDT ON-OFF-ON</t>
        </is>
      </c>
      <c r="D37" s="8" t="inlineStr">
        <is>
          <t>C&amp;K 7303SYZQE（穴φ6.35mm）</t>
        </is>
      </c>
      <c r="E37" s="7" t="n">
        <v>1</v>
      </c>
      <c r="F37" s="7" t="inlineStr">
        <is>
          <t>SW501+SW601+SW602</t>
        </is>
      </c>
      <c r="G37" s="7" t="inlineStr">
        <is>
          <t>Digikey/Mouser</t>
        </is>
      </c>
      <c r="H37" s="9" t="n"/>
      <c r="I37" s="10">
        <f>E37*H37</f>
        <v/>
      </c>
      <c r="J37" s="7" t="inlineStr"/>
      <c r="K37" s="11" t="n"/>
      <c r="L37" s="8" t="inlineStr">
        <is>
          <t>3極とも同一現物1個（回路図では3箇所に分けて描画）</t>
        </is>
      </c>
    </row>
    <row r="38">
      <c r="A38" s="7" t="n">
        <v>30</v>
      </c>
      <c r="B38" s="7" t="inlineStr">
        <is>
          <t>OutputStage</t>
        </is>
      </c>
      <c r="C38" s="7" t="inlineStr">
        <is>
          <t>コネクタ（HP Buffer行き）</t>
        </is>
      </c>
      <c r="D38" s="8" t="inlineStr">
        <is>
          <t>未定（要選定）</t>
        </is>
      </c>
      <c r="E38" s="7" t="n">
        <v>1</v>
      </c>
      <c r="F38" s="7" t="inlineStr">
        <is>
          <t>J_HP601</t>
        </is>
      </c>
      <c r="G38" s="7" t="inlineStr">
        <is>
          <t>-</t>
        </is>
      </c>
      <c r="H38" s="9" t="n"/>
      <c r="I38" s="10">
        <f>E38*H38</f>
        <v/>
      </c>
      <c r="J38" s="7" t="inlineStr"/>
      <c r="K38" s="11" t="n"/>
      <c r="L38" s="8" t="inlineStr"/>
    </row>
    <row r="39">
      <c r="A39" s="7" t="n">
        <v>31</v>
      </c>
      <c r="B39" s="7" t="inlineStr">
        <is>
          <t>OutputStage</t>
        </is>
      </c>
      <c r="C39" s="7" t="inlineStr">
        <is>
          <t>コネクタ（LINE OUT）</t>
        </is>
      </c>
      <c r="D39" s="8" t="inlineStr">
        <is>
          <t>未定（要選定）</t>
        </is>
      </c>
      <c r="E39" s="7" t="n">
        <v>1</v>
      </c>
      <c r="F39" s="7" t="inlineStr">
        <is>
          <t>J_LINE601</t>
        </is>
      </c>
      <c r="G39" s="7" t="inlineStr">
        <is>
          <t>-</t>
        </is>
      </c>
      <c r="H39" s="9" t="n"/>
      <c r="I39" s="10">
        <f>E39*H39</f>
        <v/>
      </c>
      <c r="J39" s="7" t="inlineStr"/>
      <c r="K39" s="11" t="n"/>
      <c r="L39" s="8" t="inlineStr"/>
    </row>
    <row r="40">
      <c r="A40" s="7" t="n">
        <v>32</v>
      </c>
      <c r="B40" s="7" t="inlineStr">
        <is>
          <t>OutputStage</t>
        </is>
      </c>
      <c r="C40" s="7" t="inlineStr">
        <is>
          <t>端子台 3P（RAIL IN）</t>
        </is>
      </c>
      <c r="D40" s="8" t="inlineStr">
        <is>
          <t>Phoenix系相当</t>
        </is>
      </c>
      <c r="E40" s="7" t="n">
        <v>1</v>
      </c>
      <c r="F40" s="7" t="inlineStr">
        <is>
          <t>J_RAIL601</t>
        </is>
      </c>
      <c r="G40" s="7" t="inlineStr">
        <is>
          <t>Digikey/Mouser</t>
        </is>
      </c>
      <c r="H40" s="9" t="n"/>
      <c r="I40" s="10">
        <f>E40*H40</f>
        <v/>
      </c>
      <c r="J40" s="7" t="inlineStr"/>
      <c r="K40" s="11" t="n"/>
      <c r="L40" s="8" t="inlineStr">
        <is>
          <t>PowerModule J201からの電源受け</t>
        </is>
      </c>
    </row>
    <row r="41">
      <c r="A41" s="4" t="inlineStr">
        <is>
          <t>[AmpBank]</t>
        </is>
      </c>
      <c r="B41" s="4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6" t="n"/>
    </row>
    <row r="42">
      <c r="A42" s="7" t="n">
        <v>33</v>
      </c>
      <c r="B42" s="7" t="inlineStr">
        <is>
          <t>AmpBank</t>
        </is>
      </c>
      <c r="C42" s="7" t="inlineStr">
        <is>
          <t>デュアルOPアンプ（基準）</t>
        </is>
      </c>
      <c r="D42" s="8" t="inlineStr">
        <is>
          <t>NE5532P（DIP-8）</t>
        </is>
      </c>
      <c r="E42" s="7" t="n">
        <v>10</v>
      </c>
      <c r="F42" s="7" t="inlineStr">
        <is>
          <t>AMP701-1601</t>
        </is>
      </c>
      <c r="G42" s="7" t="inlineStr">
        <is>
          <t>秋月/Digikey</t>
        </is>
      </c>
      <c r="H42" s="9" t="n"/>
      <c r="I42" s="10">
        <f>E42*H42</f>
        <v/>
      </c>
      <c r="J42" s="7" t="inlineStr"/>
      <c r="K42" s="11" t="n"/>
      <c r="L42" s="8" t="inlineStr">
        <is>
          <t>在庫確認: Audio/OPAMP_INVENTORY.md。差替え比較用に他石は流用可</t>
        </is>
      </c>
    </row>
    <row r="43">
      <c r="A43" s="7" t="n">
        <v>34</v>
      </c>
      <c r="B43" s="7" t="inlineStr">
        <is>
          <t>AmpBank</t>
        </is>
      </c>
      <c r="C43" s="7" t="inlineStr">
        <is>
          <t>ICソケット DIP-8</t>
        </is>
      </c>
      <c r="D43" s="8" t="inlineStr">
        <is>
          <t>丸ピンソケット推奨</t>
        </is>
      </c>
      <c r="E43" s="7" t="n">
        <v>10</v>
      </c>
      <c r="F43" s="7" t="inlineStr">
        <is>
          <t>(AMP701-1601用)</t>
        </is>
      </c>
      <c r="G43" s="7" t="inlineStr">
        <is>
          <t>秋月/Digikey</t>
        </is>
      </c>
      <c r="H43" s="9" t="n"/>
      <c r="I43" s="10">
        <f>E43*H43</f>
        <v/>
      </c>
      <c r="J43" s="7" t="inlineStr"/>
      <c r="K43" s="11" t="n"/>
      <c r="L43" s="8" t="inlineStr">
        <is>
          <t>OPアンプ差替え運用のため必須</t>
        </is>
      </c>
    </row>
    <row r="44">
      <c r="A44" s="7" t="n">
        <v>35</v>
      </c>
      <c r="B44" s="7" t="inlineStr">
        <is>
          <t>AmpBank</t>
        </is>
      </c>
      <c r="C44" s="7" t="inlineStr">
        <is>
          <t>アナログスイッチ</t>
        </is>
      </c>
      <c r="D44" s="8" t="inlineStr">
        <is>
          <t>TI TMUX7612PWR（16-TSSOP、4ch SPST、Ron 1.35Ω max）</t>
        </is>
      </c>
      <c r="E44" s="7" t="n">
        <v>10</v>
      </c>
      <c r="F44" s="7" t="inlineStr">
        <is>
          <t>U701-1601</t>
        </is>
      </c>
      <c r="G44" s="7" t="inlineStr">
        <is>
          <t>Digikey</t>
        </is>
      </c>
      <c r="H44" s="9" t="n"/>
      <c r="I44" s="10">
        <f>E44*H44</f>
        <v/>
      </c>
      <c r="J44" s="7" t="inlineStr">
        <is>
          <t>https://www.digikey.com/en/products/detail/texas-instruments/TMUX7612PWR/25891565</t>
        </is>
      </c>
      <c r="K44" s="11" t="n"/>
      <c r="L44" s="8" t="inlineStr">
        <is>
          <t>本セッションで実在確認済み</t>
        </is>
      </c>
    </row>
    <row r="45">
      <c r="A45" s="7" t="n">
        <v>36</v>
      </c>
      <c r="B45" s="7" t="inlineStr">
        <is>
          <t>AmpBank</t>
        </is>
      </c>
      <c r="C45" s="7" t="inlineStr">
        <is>
          <t>I/Oエキスパンダ</t>
        </is>
      </c>
      <c r="D45" s="8" t="inlineStr">
        <is>
          <t>Microchip MCP23017-E/SP（DIP-28）</t>
        </is>
      </c>
      <c r="E45" s="7" t="n">
        <v>1</v>
      </c>
      <c r="F45" s="7" t="inlineStr">
        <is>
          <t>U_IO</t>
        </is>
      </c>
      <c r="G45" s="7" t="inlineStr">
        <is>
          <t>秋月/Digikey</t>
        </is>
      </c>
      <c r="H45" s="9" t="n"/>
      <c r="I45" s="10">
        <f>E45*H45</f>
        <v/>
      </c>
      <c r="J45" s="7" t="inlineStr"/>
      <c r="K45" s="11" t="n"/>
      <c r="L45" s="8" t="inlineStr">
        <is>
          <t>10 SELライン制御用</t>
        </is>
      </c>
    </row>
    <row r="46">
      <c r="A46" s="7" t="n">
        <v>37</v>
      </c>
      <c r="B46" s="7" t="inlineStr">
        <is>
          <t>AmpBank</t>
        </is>
      </c>
      <c r="C46" s="7" t="inlineStr">
        <is>
          <t>抵抗 220kΩ</t>
        </is>
      </c>
      <c r="D46" s="8" t="inlineStr">
        <is>
          <t>1206 SMD</t>
        </is>
      </c>
      <c r="E46" s="7" t="n">
        <v>20</v>
      </c>
      <c r="F46" s="7" t="inlineStr">
        <is>
          <t>R701-R1606系</t>
        </is>
      </c>
      <c r="G46" s="7" t="inlineStr">
        <is>
          <t>Digikey/Mouser</t>
        </is>
      </c>
      <c r="H46" s="9" t="n"/>
      <c r="I46" s="10">
        <f>E46*H46</f>
        <v/>
      </c>
      <c r="J46" s="7" t="inlineStr"/>
      <c r="K46" s="11" t="n"/>
      <c r="L46" s="8" t="inlineStr">
        <is>
          <t>入力プルダウン、ch毎2本×10</t>
        </is>
      </c>
    </row>
    <row r="47">
      <c r="A47" s="7" t="n">
        <v>38</v>
      </c>
      <c r="B47" s="7" t="inlineStr">
        <is>
          <t>AmpBank</t>
        </is>
      </c>
      <c r="C47" s="7" t="inlineStr">
        <is>
          <t>抵抗 1kΩ</t>
        </is>
      </c>
      <c r="D47" s="8" t="inlineStr">
        <is>
          <t>1206 SMD</t>
        </is>
      </c>
      <c r="E47" s="7" t="n">
        <v>20</v>
      </c>
      <c r="F47" s="7" t="inlineStr">
        <is>
          <t>R702-R1607系</t>
        </is>
      </c>
      <c r="G47" s="7" t="inlineStr">
        <is>
          <t>Digikey/Mouser</t>
        </is>
      </c>
      <c r="H47" s="9" t="n"/>
      <c r="I47" s="10">
        <f>E47*H47</f>
        <v/>
      </c>
      <c r="J47" s="7" t="inlineStr"/>
      <c r="K47" s="11" t="n"/>
      <c r="L47" s="8" t="inlineStr">
        <is>
          <t>非反転バイアス、ch毎2本×10</t>
        </is>
      </c>
    </row>
    <row r="48">
      <c r="A48" s="7" t="n">
        <v>39</v>
      </c>
      <c r="B48" s="7" t="inlineStr">
        <is>
          <t>AmpBank</t>
        </is>
      </c>
      <c r="C48" s="7" t="inlineStr">
        <is>
          <t>抵抗 47Ω</t>
        </is>
      </c>
      <c r="D48" s="8" t="inlineStr">
        <is>
          <t>1206 SMD</t>
        </is>
      </c>
      <c r="E48" s="7" t="n">
        <v>20</v>
      </c>
      <c r="F48" s="7" t="inlineStr">
        <is>
          <t>R703-R1608系</t>
        </is>
      </c>
      <c r="G48" s="7" t="inlineStr">
        <is>
          <t>Digikey/Mouser</t>
        </is>
      </c>
      <c r="H48" s="9" t="n"/>
      <c r="I48" s="10">
        <f>E48*H48</f>
        <v/>
      </c>
      <c r="J48" s="7" t="inlineStr"/>
      <c r="K48" s="11" t="n"/>
      <c r="L48" s="8" t="inlineStr">
        <is>
          <t>出力アイソレーション、ch毎2本×10</t>
        </is>
      </c>
    </row>
    <row r="49">
      <c r="A49" s="7" t="n">
        <v>40</v>
      </c>
      <c r="B49" s="7" t="inlineStr">
        <is>
          <t>AmpBank</t>
        </is>
      </c>
      <c r="C49" s="7" t="inlineStr">
        <is>
          <t>抵抗 20kΩ</t>
        </is>
      </c>
      <c r="D49" s="8" t="inlineStr">
        <is>
          <t>1206 SMD</t>
        </is>
      </c>
      <c r="E49" s="7" t="n">
        <v>40</v>
      </c>
      <c r="F49" s="7" t="inlineStr">
        <is>
          <t>R704-R1610系</t>
        </is>
      </c>
      <c r="G49" s="7" t="inlineStr">
        <is>
          <t>Digikey/Mouser</t>
        </is>
      </c>
      <c r="H49" s="9" t="n"/>
      <c r="I49" s="10">
        <f>E49*H49</f>
        <v/>
      </c>
      <c r="J49" s="7" t="inlineStr"/>
      <c r="K49" s="11" t="n"/>
      <c r="L49" s="8" t="inlineStr">
        <is>
          <t>帰還Rf/Rg、ch毎4本×10（GAIN=1+Rf/Rg、既定2倍）</t>
        </is>
      </c>
    </row>
    <row r="50">
      <c r="A50" s="7" t="n">
        <v>41</v>
      </c>
      <c r="B50" s="7" t="inlineStr">
        <is>
          <t>AmpBank</t>
        </is>
      </c>
      <c r="C50" s="7" t="inlineStr">
        <is>
          <t>フィルムコンデンサ 100nF</t>
        </is>
      </c>
      <c r="D50" s="8" t="inlineStr">
        <is>
          <t>入力カップリング</t>
        </is>
      </c>
      <c r="E50" s="7" t="n">
        <v>20</v>
      </c>
      <c r="F50" s="7" t="inlineStr">
        <is>
          <t>C701-C1604系</t>
        </is>
      </c>
      <c r="G50" s="7" t="inlineStr">
        <is>
          <t>Digikey/Mouser</t>
        </is>
      </c>
      <c r="H50" s="9" t="n"/>
      <c r="I50" s="10">
        <f>E50*H50</f>
        <v/>
      </c>
      <c r="J50" s="7" t="inlineStr"/>
      <c r="K50" s="11" t="n"/>
      <c r="L50" s="8" t="inlineStr">
        <is>
          <t>ch毎2個×10</t>
        </is>
      </c>
    </row>
    <row r="51">
      <c r="A51" s="7" t="n">
        <v>42</v>
      </c>
      <c r="B51" s="7" t="inlineStr">
        <is>
          <t>AmpBank</t>
        </is>
      </c>
      <c r="C51" s="7" t="inlineStr">
        <is>
          <t>電解コンデンサ 10uF</t>
        </is>
      </c>
      <c r="D51" s="8" t="inlineStr">
        <is>
          <t>入力カップリング</t>
        </is>
      </c>
      <c r="E51" s="7" t="n">
        <v>20</v>
      </c>
      <c r="F51" s="7" t="inlineStr">
        <is>
          <t>C702-C1605系</t>
        </is>
      </c>
      <c r="G51" s="7" t="inlineStr">
        <is>
          <t>Digikey/Mouser</t>
        </is>
      </c>
      <c r="H51" s="9" t="n"/>
      <c r="I51" s="10">
        <f>E51*H51</f>
        <v/>
      </c>
      <c r="J51" s="7" t="inlineStr"/>
      <c r="K51" s="11" t="n"/>
      <c r="L51" s="8" t="inlineStr">
        <is>
          <t>ch毎2個×10</t>
        </is>
      </c>
    </row>
    <row r="52">
      <c r="A52" s="7" t="n">
        <v>43</v>
      </c>
      <c r="B52" s="7" t="inlineStr">
        <is>
          <t>AmpBank</t>
        </is>
      </c>
      <c r="C52" s="7" t="inlineStr">
        <is>
          <t>フィルムコンデンサ 2.2uF</t>
        </is>
      </c>
      <c r="D52" s="8" t="inlineStr">
        <is>
          <t>出力カップリング（SW前段）</t>
        </is>
      </c>
      <c r="E52" s="7" t="n">
        <v>20</v>
      </c>
      <c r="F52" s="7" t="inlineStr">
        <is>
          <t>C703-C1606系</t>
        </is>
      </c>
      <c r="G52" s="7" t="inlineStr">
        <is>
          <t>Digikey/Mouser</t>
        </is>
      </c>
      <c r="H52" s="9" t="n"/>
      <c r="I52" s="10">
        <f>E52*H52</f>
        <v/>
      </c>
      <c r="J52" s="7" t="inlineStr"/>
      <c r="K52" s="11" t="n"/>
      <c r="L52" s="8" t="inlineStr">
        <is>
          <t>ch毎2個×10。470uFから縮小（§2.9）</t>
        </is>
      </c>
    </row>
    <row r="53">
      <c r="A53" s="7" t="n">
        <v>44</v>
      </c>
      <c r="B53" s="7" t="inlineStr">
        <is>
          <t>AmpBank</t>
        </is>
      </c>
      <c r="C53" s="7" t="inlineStr">
        <is>
          <t>積層セラミックコンデンサ 100nF</t>
        </is>
      </c>
      <c r="D53" s="8" t="inlineStr">
        <is>
          <t>1206 SMD、デカップリング</t>
        </is>
      </c>
      <c r="E53" s="7" t="n">
        <v>41</v>
      </c>
      <c r="F53" s="7" t="inlineStr">
        <is>
          <t>C707-C1610系+C_IO301</t>
        </is>
      </c>
      <c r="G53" s="7" t="inlineStr">
        <is>
          <t>Digikey/Mouser</t>
        </is>
      </c>
      <c r="H53" s="9" t="n"/>
      <c r="I53" s="10">
        <f>E53*H53</f>
        <v/>
      </c>
      <c r="J53" s="7" t="inlineStr"/>
      <c r="K53" s="11" t="n"/>
      <c r="L53" s="8" t="inlineStr">
        <is>
          <t>ch毎4個×10 + MCP23017用1個</t>
        </is>
      </c>
    </row>
    <row r="54">
      <c r="A54" s="7" t="n">
        <v>45</v>
      </c>
      <c r="B54" s="7" t="inlineStr">
        <is>
          <t>AmpBank</t>
        </is>
      </c>
      <c r="C54" s="7" t="inlineStr">
        <is>
          <t>電解コンデンサ 100uF 35V</t>
        </is>
      </c>
      <c r="D54" s="8" t="inlineStr">
        <is>
          <t>SMD（入口バルク）</t>
        </is>
      </c>
      <c r="E54" s="7" t="n">
        <v>2</v>
      </c>
      <c r="F54" s="7" t="inlineStr">
        <is>
          <t>C_BULK_P301,C_BULK_N301</t>
        </is>
      </c>
      <c r="G54" s="7" t="inlineStr">
        <is>
          <t>Digikey/Mouser</t>
        </is>
      </c>
      <c r="H54" s="9" t="n"/>
      <c r="I54" s="10">
        <f>E54*H54</f>
        <v/>
      </c>
      <c r="J54" s="7" t="inlineStr"/>
      <c r="K54" s="11" t="n"/>
      <c r="L54" s="8" t="inlineStr">
        <is>
          <t>+15V/-15V各レール入口</t>
        </is>
      </c>
    </row>
    <row r="55">
      <c r="A55" s="7" t="n">
        <v>46</v>
      </c>
      <c r="B55" s="7" t="inlineStr">
        <is>
          <t>AmpBank</t>
        </is>
      </c>
      <c r="C55" s="7" t="inlineStr">
        <is>
          <t>端子台 3P</t>
        </is>
      </c>
      <c r="D55" s="8" t="inlineStr">
        <is>
          <t>Phoenix MKDS-1,5-3-5.08 相当</t>
        </is>
      </c>
      <c r="E55" s="7" t="n">
        <v>1</v>
      </c>
      <c r="F55" s="7" t="inlineStr">
        <is>
          <t>J_PWR</t>
        </is>
      </c>
      <c r="G55" s="7" t="inlineStr">
        <is>
          <t>Digikey/Mouser</t>
        </is>
      </c>
      <c r="H55" s="9" t="n"/>
      <c r="I55" s="10">
        <f>E55*H55</f>
        <v/>
      </c>
      <c r="J55" s="7" t="inlineStr"/>
      <c r="K55" s="11" t="n"/>
      <c r="L55" s="8" t="inlineStr">
        <is>
          <t>+15V/A_GND/-15V 受け</t>
        </is>
      </c>
    </row>
    <row r="56">
      <c r="A56" s="7" t="n">
        <v>47</v>
      </c>
      <c r="B56" s="7" t="inlineStr">
        <is>
          <t>AmpBank</t>
        </is>
      </c>
      <c r="C56" s="7" t="inlineStr">
        <is>
          <t>端子台 2P</t>
        </is>
      </c>
      <c r="D56" s="8" t="inlineStr">
        <is>
          <t>Phoenix MKDS-1,5-2-5.08 相当</t>
        </is>
      </c>
      <c r="E56" s="7" t="n">
        <v>2</v>
      </c>
      <c r="F56" s="7" t="inlineStr">
        <is>
          <t>J_TONE,J_OUT</t>
        </is>
      </c>
      <c r="G56" s="7" t="inlineStr">
        <is>
          <t>Digikey/Mouser</t>
        </is>
      </c>
      <c r="H56" s="9" t="n"/>
      <c r="I56" s="10">
        <f>E56*H56</f>
        <v/>
      </c>
      <c r="J56" s="7" t="inlineStr"/>
      <c r="K56" s="11" t="n"/>
      <c r="L56" s="8" t="inlineStr">
        <is>
          <t>TONE IN、AMP_SEL OUT 各1</t>
        </is>
      </c>
    </row>
    <row r="57">
      <c r="A57" s="7" t="n">
        <v>48</v>
      </c>
      <c r="B57" s="7" t="inlineStr">
        <is>
          <t>AmpBank</t>
        </is>
      </c>
      <c r="C57" s="7" t="inlineStr">
        <is>
          <t>ピンヘッダ 1x04</t>
        </is>
      </c>
      <c r="D57" s="8" t="inlineStr">
        <is>
          <t>2.54mmピッチ 垂直</t>
        </is>
      </c>
      <c r="E57" s="7" t="n">
        <v>1</v>
      </c>
      <c r="F57" s="7" t="inlineStr">
        <is>
          <t>J_CTRL</t>
        </is>
      </c>
      <c r="G57" s="7" t="inlineStr">
        <is>
          <t>秋月/Digikey</t>
        </is>
      </c>
      <c r="H57" s="9" t="n"/>
      <c r="I57" s="10">
        <f>E57*H57</f>
        <v/>
      </c>
      <c r="J57" s="7" t="inlineStr"/>
      <c r="K57" s="11" t="n"/>
      <c r="L57" s="8" t="inlineStr">
        <is>
          <t>I2C SDA/SCL/3V3/D_GND</t>
        </is>
      </c>
    </row>
    <row r="59">
      <c r="A59" s="12" t="n"/>
      <c r="B59" s="12" t="n"/>
      <c r="C59" s="13" t="inlineStr">
        <is>
          <t>合計</t>
        </is>
      </c>
      <c r="D59" s="12" t="n"/>
      <c r="E59" s="12" t="n"/>
      <c r="F59" s="12" t="n"/>
      <c r="G59" s="12" t="n"/>
      <c r="H59" s="12" t="n"/>
      <c r="I59" s="14">
        <f>SUM(I6:I57)</f>
        <v/>
      </c>
      <c r="J59" s="12" t="n"/>
      <c r="K59" s="12" t="n"/>
      <c r="L59" s="12" t="n"/>
    </row>
  </sheetData>
  <mergeCells count="6">
    <mergeCell ref="B35:L35"/>
    <mergeCell ref="A2:L2"/>
    <mergeCell ref="B6:L6"/>
    <mergeCell ref="B16:L16"/>
    <mergeCell ref="A3:L3"/>
    <mergeCell ref="B41:L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24" customWidth="1" min="2" max="2"/>
    <col width="45" customWidth="1" min="3" max="3"/>
    <col width="6" customWidth="1" min="4" max="4"/>
    <col width="55" customWidth="1" min="5" max="5"/>
  </cols>
  <sheetData>
    <row r="1">
      <c r="A1" s="2" t="inlineStr">
        <is>
          <t>AudioV2Case.kicad_sch（真のルート）から kicad-cli sch export bom で出力した生データ。監査用。</t>
        </is>
      </c>
    </row>
    <row r="3">
      <c r="A3" s="15" t="inlineStr">
        <is>
          <t>Refs</t>
        </is>
      </c>
      <c r="B3" s="15" t="inlineStr">
        <is>
          <t>Value</t>
        </is>
      </c>
      <c r="C3" s="15" t="inlineStr">
        <is>
          <t>Footprint</t>
        </is>
      </c>
      <c r="D3" s="15" t="inlineStr">
        <is>
          <t>Qty</t>
        </is>
      </c>
      <c r="E3" s="15" t="inlineStr">
        <is>
          <t>Role</t>
        </is>
      </c>
    </row>
    <row r="4">
      <c r="A4" s="16" t="inlineStr">
        <is>
          <t>AMP701,AMP801,AMP901,AMP1001,AMP1101,AMP1201,AMP1301,AMP1401,AMP1501,AMP1601</t>
        </is>
      </c>
      <c r="B4" s="16" t="inlineStr">
        <is>
          <t>NE5532 / DIP-8 compatible</t>
        </is>
      </c>
      <c r="C4" s="16" t="inlineStr">
        <is>
          <t>Package_DIP:DIP-8_W7.62mm_Socket</t>
        </is>
      </c>
      <c r="D4" s="16" t="inlineStr">
        <is>
          <t>10</t>
        </is>
      </c>
      <c r="E4" s="16" t="inlineStr">
        <is>
          <t>Socketed dual op amp under test</t>
        </is>
      </c>
    </row>
    <row r="5">
      <c r="A5" s="16" t="inlineStr">
        <is>
          <t>C201,C205,C207</t>
        </is>
      </c>
      <c r="B5" s="16" t="inlineStr">
        <is>
          <t>47u</t>
        </is>
      </c>
      <c r="C5" s="16" t="inlineStr"/>
      <c r="D5" s="16" t="inlineStr">
        <is>
          <t>3</t>
        </is>
      </c>
      <c r="E5" s="16" t="inlineStr"/>
    </row>
    <row r="6">
      <c r="A6" s="16" t="inlineStr">
        <is>
          <t>C202,C204,C206,C208,C502</t>
        </is>
      </c>
      <c r="B6" s="16" t="inlineStr">
        <is>
          <t>0.1u</t>
        </is>
      </c>
      <c r="C6" s="16" t="inlineStr"/>
      <c r="D6" s="16" t="inlineStr">
        <is>
          <t>5</t>
        </is>
      </c>
      <c r="E6" s="16" t="inlineStr"/>
    </row>
    <row r="7">
      <c r="A7" s="16" t="inlineStr">
        <is>
          <t>C203</t>
        </is>
      </c>
      <c r="B7" s="16" t="inlineStr">
        <is>
          <t>10u</t>
        </is>
      </c>
      <c r="C7" s="16" t="inlineStr"/>
      <c r="D7" s="16" t="inlineStr">
        <is>
          <t>1</t>
        </is>
      </c>
      <c r="E7" s="16" t="inlineStr"/>
    </row>
    <row r="8">
      <c r="A8" s="16" t="inlineStr">
        <is>
          <t>C501</t>
        </is>
      </c>
      <c r="B8" s="16" t="inlineStr">
        <is>
          <t>22u</t>
        </is>
      </c>
      <c r="C8" s="16" t="inlineStr"/>
      <c r="D8" s="16" t="inlineStr">
        <is>
          <t>1</t>
        </is>
      </c>
      <c r="E8" s="16" t="inlineStr"/>
    </row>
    <row r="9">
      <c r="A9" s="16" t="inlineStr">
        <is>
          <t>C503,C504,C510,C511</t>
        </is>
      </c>
      <c r="B9" s="16" t="inlineStr">
        <is>
          <t>100n</t>
        </is>
      </c>
      <c r="C9" s="16" t="inlineStr"/>
      <c r="D9" s="16" t="inlineStr">
        <is>
          <t>4</t>
        </is>
      </c>
      <c r="E9" s="16" t="inlineStr"/>
    </row>
    <row r="10">
      <c r="A10" s="16" t="inlineStr">
        <is>
          <t>C505,C506,C507,C509</t>
        </is>
      </c>
      <c r="B10" s="16" t="inlineStr">
        <is>
          <t>2.2u</t>
        </is>
      </c>
      <c r="C10" s="16" t="inlineStr"/>
      <c r="D10" s="16" t="inlineStr">
        <is>
          <t>4</t>
        </is>
      </c>
      <c r="E10" s="16" t="inlineStr"/>
    </row>
    <row r="11">
      <c r="A11" s="16" t="inlineStr">
        <is>
          <t>C508,C512</t>
        </is>
      </c>
      <c r="B11" s="16" t="inlineStr">
        <is>
          <t>2.7n</t>
        </is>
      </c>
      <c r="C11" s="16" t="inlineStr"/>
      <c r="D11" s="16" t="inlineStr">
        <is>
          <t>2</t>
        </is>
      </c>
      <c r="E11" s="16" t="inlineStr"/>
    </row>
    <row r="12">
      <c r="A12" s="16" t="inlineStr">
        <is>
          <t>C701,C704,C801,C804,C901,C904,C1001,C1004,C1101,C1104,C1201,C1204,C1301,C1304,C1401,C1404,C1501,C1504,C1601,C1604</t>
        </is>
      </c>
      <c r="B12" s="16" t="inlineStr">
        <is>
          <t>100nF film</t>
        </is>
      </c>
      <c r="C12" s="16" t="inlineStr">
        <is>
          <t>Capacitor_THT:C_Rect_L7.2mm_W2.5mm_P5.00mm_FKS2_FKP2_MKS2_MKP2</t>
        </is>
      </c>
      <c r="D12" s="16" t="inlineStr">
        <is>
          <t>20</t>
        </is>
      </c>
      <c r="E12" s="16" t="inlineStr">
        <is>
          <t>L input film coupling,R input film coupling</t>
        </is>
      </c>
    </row>
    <row r="13">
      <c r="A13" s="16" t="inlineStr">
        <is>
          <t>C702,C705,C802,C805,C902,C905,C1002,C1005,C1102,C1105,C1202,C1205,C1302,C1305,C1402,C1405,C1502,C1505,C1602,C1605</t>
        </is>
      </c>
      <c r="B13" s="16" t="inlineStr">
        <is>
          <t>10uF</t>
        </is>
      </c>
      <c r="C13" s="16" t="inlineStr">
        <is>
          <t>Capacitor_THT:CP_Radial_D5.0mm_P2.00mm</t>
        </is>
      </c>
      <c r="D13" s="16" t="inlineStr">
        <is>
          <t>20</t>
        </is>
      </c>
      <c r="E13" s="16" t="inlineStr">
        <is>
          <t>L input electrolytic coupling,R input electrolytic coupling</t>
        </is>
      </c>
    </row>
    <row r="14">
      <c r="A14" s="16" t="inlineStr">
        <is>
          <t>C703,C706,C803,C806,C903,C906,C1003,C1006,C1103,C1106,C1203,C1206,C1303,C1306,C1403,C1406,C1503,C1506,C1603,C1606</t>
        </is>
      </c>
      <c r="B14" s="16" t="inlineStr">
        <is>
          <t>2.2uF film</t>
        </is>
      </c>
      <c r="C14" s="16" t="inlineStr">
        <is>
          <t>Capacitor_THT:C_Rect_L7.2mm_W2.5mm_P5.00mm_FKS2_FKP2_MKS2_MKP2</t>
        </is>
      </c>
      <c r="D14" s="16" t="inlineStr">
        <is>
          <t>20</t>
        </is>
      </c>
      <c r="E14" s="16" t="inlineStr">
        <is>
          <t>L output coupling (before switch),R output coupling (before switch)</t>
        </is>
      </c>
    </row>
    <row r="15">
      <c r="A15" s="16" t="inlineStr">
        <is>
          <t>C707,C708,C709,C710,C807,C808,C809,C810,C907,C908,C909,C910,C1007,C1008,C1009,C1010,C1107,C1108,C1109,C1110,C1207,C1208,C1209,C1210,C1307,C1308,C1309,C1310,C1407,C1408,C1409,C1410,C1507,C1508,C1509,C1510,C1607,C1608,C1609,C1610,C_IO301</t>
        </is>
      </c>
      <c r="B15" s="16" t="inlineStr">
        <is>
          <t>100nF</t>
        </is>
      </c>
      <c r="C15" s="16" t="inlineStr">
        <is>
          <t>Capacitor_SMD:C_1206_3216Metric_Pad1.33x1.80mm_HandSolder</t>
        </is>
      </c>
      <c r="D15" s="16" t="inlineStr">
        <is>
          <t>41</t>
        </is>
      </c>
      <c r="E15" s="16" t="inlineStr">
        <is>
          <t>MCP23017 decoupling,op amp V+ local decoupling,op amp V- local decoupling,switch VDD local decoupling,switch VSS local decoupling</t>
        </is>
      </c>
    </row>
    <row r="16">
      <c r="A16" s="16" t="inlineStr">
        <is>
          <t>C_BULK_N301,C_BULK_P301</t>
        </is>
      </c>
      <c r="B16" s="16" t="inlineStr">
        <is>
          <t>100uF 35V</t>
        </is>
      </c>
      <c r="C16" s="16" t="inlineStr">
        <is>
          <t>Capacitor_SMD:CP_Elec_10x12.6</t>
        </is>
      </c>
      <c r="D16" s="16" t="inlineStr">
        <is>
          <t>2</t>
        </is>
      </c>
      <c r="E16" s="16" t="inlineStr">
        <is>
          <t>rail bulk at board entry</t>
        </is>
      </c>
    </row>
    <row r="17">
      <c r="A17" s="16" t="inlineStr">
        <is>
          <t>D501</t>
        </is>
      </c>
      <c r="B17" s="16" t="inlineStr">
        <is>
          <t>DEST GP14</t>
        </is>
      </c>
      <c r="C17" s="16" t="inlineStr"/>
      <c r="D17" s="16" t="inlineStr">
        <is>
          <t>1</t>
        </is>
      </c>
      <c r="E17" s="16" t="inlineStr"/>
    </row>
    <row r="18">
      <c r="A18" s="16" t="inlineStr">
        <is>
          <t>D502</t>
        </is>
      </c>
      <c r="B18" s="16" t="inlineStr">
        <is>
          <t>DEST GP15</t>
        </is>
      </c>
      <c r="C18" s="16" t="inlineStr"/>
      <c r="D18" s="16" t="inlineStr">
        <is>
          <t>1</t>
        </is>
      </c>
      <c r="E18" s="16" t="inlineStr"/>
    </row>
    <row r="19">
      <c r="A19" s="16" t="inlineStr">
        <is>
          <t>D503</t>
        </is>
      </c>
      <c r="B19" s="16" t="inlineStr">
        <is>
          <t>12V panel LED</t>
        </is>
      </c>
      <c r="C19" s="16" t="inlineStr"/>
      <c r="D19" s="16" t="inlineStr">
        <is>
          <t>1</t>
        </is>
      </c>
      <c r="E19" s="16" t="inlineStr"/>
    </row>
    <row r="20">
      <c r="A20" s="16" t="inlineStr">
        <is>
          <t>ENC501</t>
        </is>
      </c>
      <c r="B20" s="16" t="inlineStr">
        <is>
          <t>EC11 ENC_CH</t>
        </is>
      </c>
      <c r="C20" s="16" t="inlineStr"/>
      <c r="D20" s="16" t="inlineStr">
        <is>
          <t>1</t>
        </is>
      </c>
      <c r="E20" s="16" t="inlineStr"/>
    </row>
    <row r="21">
      <c r="A21" s="16" t="inlineStr">
        <is>
          <t>ENC502</t>
        </is>
      </c>
      <c r="B21" s="16" t="inlineStr">
        <is>
          <t>EC11 ENC_BASS</t>
        </is>
      </c>
      <c r="C21" s="16" t="inlineStr"/>
      <c r="D21" s="16" t="inlineStr">
        <is>
          <t>1</t>
        </is>
      </c>
      <c r="E21" s="16" t="inlineStr"/>
    </row>
    <row r="22">
      <c r="A22" s="16" t="inlineStr">
        <is>
          <t>ENC503</t>
        </is>
      </c>
      <c r="B22" s="16" t="inlineStr">
        <is>
          <t>EC11 ENC_TREBLE</t>
        </is>
      </c>
      <c r="C22" s="16" t="inlineStr"/>
      <c r="D22" s="16" t="inlineStr">
        <is>
          <t>1</t>
        </is>
      </c>
      <c r="E22" s="16" t="inlineStr"/>
    </row>
    <row r="23">
      <c r="A23" s="16" t="inlineStr">
        <is>
          <t>F201</t>
        </is>
      </c>
      <c r="B23" s="16" t="inlineStr">
        <is>
          <t>3A slow</t>
        </is>
      </c>
      <c r="C23" s="16" t="inlineStr"/>
      <c r="D23" s="16" t="inlineStr">
        <is>
          <t>1</t>
        </is>
      </c>
      <c r="E23" s="16" t="inlineStr"/>
    </row>
    <row r="24">
      <c r="A24" s="16" t="inlineStr">
        <is>
          <t>J201</t>
        </is>
      </c>
      <c r="B24" s="16" t="inlineStr">
        <is>
          <t>+15/-15/A_GND out</t>
        </is>
      </c>
      <c r="C24" s="16" t="inlineStr"/>
      <c r="D24" s="16" t="inlineStr">
        <is>
          <t>1</t>
        </is>
      </c>
      <c r="E24" s="16" t="inlineStr"/>
    </row>
    <row r="25">
      <c r="A25" s="16" t="inlineStr">
        <is>
          <t>J202</t>
        </is>
      </c>
      <c r="B25" s="16" t="inlineStr">
        <is>
          <t>PD module in (1=GND 2=+12V)</t>
        </is>
      </c>
      <c r="C25" s="16" t="inlineStr"/>
      <c r="D25" s="16" t="inlineStr">
        <is>
          <t>1</t>
        </is>
      </c>
      <c r="E25" s="16" t="inlineStr"/>
    </row>
    <row r="26">
      <c r="A26" s="16" t="inlineStr">
        <is>
          <t>J203</t>
        </is>
      </c>
      <c r="B26" s="16" t="inlineStr">
        <is>
          <t>VCC_TONE OUT (1=A_GND 2=9V)</t>
        </is>
      </c>
      <c r="C26" s="16" t="inlineStr"/>
      <c r="D26" s="16" t="inlineStr">
        <is>
          <t>1</t>
        </is>
      </c>
      <c r="E26" s="16" t="inlineStr"/>
    </row>
    <row r="27">
      <c r="A27" s="16" t="inlineStr">
        <is>
          <t>J_CTRL?</t>
        </is>
      </c>
      <c r="B27" s="16" t="inlineStr">
        <is>
          <t>I2C SDA/SCL/3V3/D_GND</t>
        </is>
      </c>
      <c r="C27" s="16" t="inlineStr">
        <is>
          <t>Connector_PinHeader_2.54mm:PinHeader_1x04_P2.54mm_Vertical</t>
        </is>
      </c>
      <c r="D27" s="16" t="inlineStr">
        <is>
          <t>1</t>
        </is>
      </c>
      <c r="E27" s="16" t="inlineStr">
        <is>
          <t>I2C from ControlPanel</t>
        </is>
      </c>
    </row>
    <row r="28">
      <c r="A28" s="16" t="inlineStr">
        <is>
          <t>J_HP601</t>
        </is>
      </c>
      <c r="B28" s="16" t="inlineStr">
        <is>
          <t>to Audio HP Buffer</t>
        </is>
      </c>
      <c r="C28" s="16" t="inlineStr"/>
      <c r="D28" s="16" t="inlineStr">
        <is>
          <t>1</t>
        </is>
      </c>
      <c r="E28" s="16" t="inlineStr"/>
    </row>
    <row r="29">
      <c r="A29" s="16" t="inlineStr">
        <is>
          <t>J_LINE601</t>
        </is>
      </c>
      <c r="B29" s="16" t="inlineStr">
        <is>
          <t>LINE OUT</t>
        </is>
      </c>
      <c r="C29" s="16" t="inlineStr"/>
      <c r="D29" s="16" t="inlineStr">
        <is>
          <t>1</t>
        </is>
      </c>
      <c r="E29" s="16" t="inlineStr"/>
    </row>
    <row r="30">
      <c r="A30" s="16" t="inlineStr">
        <is>
          <t>J_OLED501</t>
        </is>
      </c>
      <c r="B30" s="16" t="inlineStr">
        <is>
          <t>2.42 OLED I2C GND/3V3/SCL/SDA</t>
        </is>
      </c>
      <c r="C30" s="16" t="inlineStr"/>
      <c r="D30" s="16" t="inlineStr">
        <is>
          <t>1</t>
        </is>
      </c>
      <c r="E30" s="16" t="inlineStr"/>
    </row>
    <row r="31">
      <c r="A31" s="16" t="inlineStr">
        <is>
          <t>J_OUT?</t>
        </is>
      </c>
      <c r="B31" s="16" t="inlineStr">
        <is>
          <t>AMP_SEL OUT L/R</t>
        </is>
      </c>
      <c r="C31" s="16" t="inlineStr">
        <is>
          <t>TerminalBlock_Phoenix:TerminalBlock_Phoenix_MKDS-1,5-2-5.08_1x02_P5.08mm_Horizontal</t>
        </is>
      </c>
      <c r="D31" s="16" t="inlineStr">
        <is>
          <t>1</t>
        </is>
      </c>
      <c r="E31" s="16" t="inlineStr">
        <is>
          <t>Selected amp out to OutputStage</t>
        </is>
      </c>
    </row>
    <row r="32">
      <c r="A32" s="16" t="inlineStr">
        <is>
          <t>J_PWR?</t>
        </is>
      </c>
      <c r="B32" s="16" t="inlineStr">
        <is>
          <t>+15V / A_GND / -15V</t>
        </is>
      </c>
      <c r="C32" s="16" t="inlineStr">
        <is>
          <t>TerminalBlock_Phoenix:TerminalBlock_Phoenix_MKDS-1,5-3-5.08_1x03_P5.08mm_Horizontal</t>
        </is>
      </c>
      <c r="D32" s="16" t="inlineStr">
        <is>
          <t>1</t>
        </is>
      </c>
      <c r="E32" s="16" t="inlineStr">
        <is>
          <t>Supply in from PowerModule</t>
        </is>
      </c>
    </row>
    <row r="33">
      <c r="A33" s="16" t="inlineStr">
        <is>
          <t>J_RAIL601</t>
        </is>
      </c>
      <c r="B33" s="16" t="inlineStr">
        <is>
          <t>RAIL IN</t>
        </is>
      </c>
      <c r="C33" s="16" t="inlineStr"/>
      <c r="D33" s="16" t="inlineStr">
        <is>
          <t>1</t>
        </is>
      </c>
      <c r="E33" s="16" t="inlineStr">
        <is>
          <t>From PowerModule J201: +12V / A_GND / -12V (relays switch rails only)</t>
        </is>
      </c>
    </row>
    <row r="34">
      <c r="A34" s="16" t="inlineStr">
        <is>
          <t>J_TONE?</t>
        </is>
      </c>
      <c r="B34" s="16" t="inlineStr">
        <is>
          <t>TONE IN L/R</t>
        </is>
      </c>
      <c r="C34" s="16" t="inlineStr">
        <is>
          <t>TerminalBlock_Phoenix:TerminalBlock_Phoenix_MKDS-1,5-2-5.08_1x02_P5.08mm_Horizontal</t>
        </is>
      </c>
      <c r="D34" s="16" t="inlineStr">
        <is>
          <t>1</t>
        </is>
      </c>
      <c r="E34" s="16" t="inlineStr">
        <is>
          <t>Tone stage output in</t>
        </is>
      </c>
    </row>
    <row r="35">
      <c r="A35" s="16" t="inlineStr">
        <is>
          <t>R501,R502</t>
        </is>
      </c>
      <c r="B35" s="16" t="inlineStr">
        <is>
          <t>4.7k</t>
        </is>
      </c>
      <c r="C35" s="16" t="inlineStr"/>
      <c r="D35" s="16" t="inlineStr">
        <is>
          <t>2</t>
        </is>
      </c>
      <c r="E35" s="16" t="inlineStr"/>
    </row>
    <row r="36">
      <c r="A36" s="16" t="inlineStr">
        <is>
          <t>R503,R504,R508,R509</t>
        </is>
      </c>
      <c r="B36" s="16" t="inlineStr">
        <is>
          <t>1k</t>
        </is>
      </c>
      <c r="C36" s="16" t="inlineStr"/>
      <c r="D36" s="16" t="inlineStr">
        <is>
          <t>4</t>
        </is>
      </c>
      <c r="E36" s="16" t="inlineStr"/>
    </row>
    <row r="37">
      <c r="A37" s="16" t="inlineStr">
        <is>
          <t>R505,R506</t>
        </is>
      </c>
      <c r="B37" s="16" t="inlineStr">
        <is>
          <t>10k</t>
        </is>
      </c>
      <c r="C37" s="16" t="inlineStr"/>
      <c r="D37" s="16" t="inlineStr">
        <is>
          <t>2</t>
        </is>
      </c>
      <c r="E37" s="16" t="inlineStr"/>
    </row>
    <row r="38">
      <c r="A38" s="16" t="inlineStr">
        <is>
          <t>R507</t>
        </is>
      </c>
      <c r="B38" s="16" t="inlineStr">
        <is>
          <t>5.6k</t>
        </is>
      </c>
      <c r="C38" s="16" t="inlineStr"/>
      <c r="D38" s="16" t="inlineStr">
        <is>
          <t>1</t>
        </is>
      </c>
      <c r="E38" s="16" t="inlineStr"/>
    </row>
    <row r="39">
      <c r="A39" s="16" t="inlineStr">
        <is>
          <t>R510,R511,R512,R513,R514,R515</t>
        </is>
      </c>
      <c r="B39" s="16" t="inlineStr">
        <is>
          <t>2.4k</t>
        </is>
      </c>
      <c r="C39" s="16" t="inlineStr"/>
      <c r="D39" s="16" t="inlineStr">
        <is>
          <t>6</t>
        </is>
      </c>
      <c r="E39" s="16" t="inlineStr"/>
    </row>
    <row r="40">
      <c r="A40" s="16" t="inlineStr">
        <is>
          <t>R701,R706,R801,R806,R901,R906,R1001,R1006,R1101,R1106,R1201,R1206,R1301,R1306,R1401,R1406,R1501,R1506,R1601,R1606</t>
        </is>
      </c>
      <c r="B40" s="16" t="inlineStr">
        <is>
          <t>220k</t>
        </is>
      </c>
      <c r="C40" s="16" t="inlineStr">
        <is>
          <t>Resistor_SMD:R_1206_3216Metric_Pad1.30x1.75mm_HandSolder</t>
        </is>
      </c>
      <c r="D40" s="16" t="inlineStr">
        <is>
          <t>20</t>
        </is>
      </c>
      <c r="E40" s="16" t="inlineStr">
        <is>
          <t>L input pulldown (after switch),R input pulldown (after switch)</t>
        </is>
      </c>
    </row>
    <row r="41">
      <c r="A41" s="16" t="inlineStr">
        <is>
          <t>R702,R707,R802,R807,R902,R907,R1002,R1007,R1102,R1107,R1202,R1207,R1302,R1307,R1402,R1407,R1502,R1507,R1602,R1607</t>
        </is>
      </c>
      <c r="B41" s="16" t="inlineStr">
        <is>
          <t>1k</t>
        </is>
      </c>
      <c r="C41" s="16" t="inlineStr">
        <is>
          <t>Resistor_SMD:R_1206_3216Metric_Pad1.30x1.75mm_HandSolder</t>
        </is>
      </c>
      <c r="D41" s="16" t="inlineStr">
        <is>
          <t>20</t>
        </is>
      </c>
      <c r="E41" s="16" t="inlineStr">
        <is>
          <t>L non-inverting bias,R non-inverting bias</t>
        </is>
      </c>
    </row>
    <row r="42">
      <c r="A42" s="16" t="inlineStr">
        <is>
          <t>R703,R708,R803,R808,R903,R908,R1003,R1008,R1103,R1108,R1203,R1208,R1303,R1308,R1403,R1408,R1503,R1508,R1603,R1608</t>
        </is>
      </c>
      <c r="B42" s="16" t="inlineStr">
        <is>
          <t>47R</t>
        </is>
      </c>
      <c r="C42" s="16" t="inlineStr">
        <is>
          <t>Resistor_SMD:R_1206_3216Metric_Pad1.30x1.75mm_HandSolder</t>
        </is>
      </c>
      <c r="D42" s="16" t="inlineStr">
        <is>
          <t>20</t>
        </is>
      </c>
      <c r="E42" s="16" t="inlineStr">
        <is>
          <t>L output isolation,R output isolation</t>
        </is>
      </c>
    </row>
    <row r="43">
      <c r="A43" s="16" t="inlineStr">
        <is>
          <t>R704,R705,R709,R710,R804,R805,R809,R810,R904,R905,R909,R910,R1004,R1005,R1009,R1010,R1104,R1105,R1109,R1110,R1204,R1205,R1209,R1210,R1304,R1305,R1309,R1310,R1404,R1405,R1409,R1410,R1504,R1505,R1509,R1510,R1604,R1605,R1609,R1610</t>
        </is>
      </c>
      <c r="B43" s="16" t="inlineStr">
        <is>
          <t>20k</t>
        </is>
      </c>
      <c r="C43" s="16" t="inlineStr">
        <is>
          <t>Resistor_SMD:R_1206_3216Metric_Pad1.30x1.75mm_HandSolder</t>
        </is>
      </c>
      <c r="D43" s="16" t="inlineStr">
        <is>
          <t>40</t>
        </is>
      </c>
      <c r="E43" s="16" t="inlineStr">
        <is>
          <t>L feedback Rf; default 20k = GAIN 2,L gain resistor Rg; GAIN=1+Rf/Rg,R feedback Rf; default 20k = GAIN 2,R gain resistor Rg; GAIN=1+Rf/Rg</t>
        </is>
      </c>
    </row>
    <row r="44">
      <c r="A44" s="16" t="inlineStr">
        <is>
          <t>RV601</t>
        </is>
      </c>
      <c r="B44" s="16" t="inlineStr">
        <is>
          <t>A50k Dual HP</t>
        </is>
      </c>
      <c r="C44" s="16" t="inlineStr"/>
      <c r="D44" s="16" t="inlineStr">
        <is>
          <t>1</t>
        </is>
      </c>
      <c r="E44" s="16" t="inlineStr"/>
    </row>
    <row r="45">
      <c r="A45" s="16" t="inlineStr">
        <is>
          <t>RV602</t>
        </is>
      </c>
      <c r="B45" s="16" t="inlineStr">
        <is>
          <t>A50k Dual LINE</t>
        </is>
      </c>
      <c r="C45" s="16" t="inlineStr"/>
      <c r="D45" s="16" t="inlineStr">
        <is>
          <t>1</t>
        </is>
      </c>
      <c r="E45" s="16" t="inlineStr"/>
    </row>
    <row r="46">
      <c r="A46" s="16" t="inlineStr">
        <is>
          <t>SW501</t>
        </is>
      </c>
      <c r="B46" s="16" t="inlineStr">
        <is>
          <t>DEST sense (3PDT 3rd pole)</t>
        </is>
      </c>
      <c r="C46" s="16" t="inlineStr"/>
      <c r="D46" s="16" t="inlineStr">
        <is>
          <t>1</t>
        </is>
      </c>
      <c r="E46" s="16" t="inlineStr"/>
    </row>
    <row r="47">
      <c r="A47" s="16" t="inlineStr">
        <is>
          <t>SW502</t>
        </is>
      </c>
      <c r="B47" s="16" t="inlineStr">
        <is>
          <t>PWR SW</t>
        </is>
      </c>
      <c r="C47" s="16" t="inlineStr"/>
      <c r="D47" s="16" t="inlineStr">
        <is>
          <t>1</t>
        </is>
      </c>
      <c r="E47" s="16" t="inlineStr"/>
    </row>
    <row r="48">
      <c r="A48" s="16" t="inlineStr">
        <is>
          <t>SW601</t>
        </is>
      </c>
      <c r="B48" s="16" t="inlineStr">
        <is>
          <t>DEST L (PHONE/MUTE/LINE)</t>
        </is>
      </c>
      <c r="C48" s="16" t="inlineStr"/>
      <c r="D48" s="16" t="inlineStr">
        <is>
          <t>1</t>
        </is>
      </c>
      <c r="E48" s="16" t="inlineStr"/>
    </row>
    <row r="49">
      <c r="A49" s="16" t="inlineStr">
        <is>
          <t>SW602</t>
        </is>
      </c>
      <c r="B49" s="16" t="inlineStr">
        <is>
          <t>DEST R (PHONE/MUTE/LINE)</t>
        </is>
      </c>
      <c r="C49" s="16" t="inlineStr"/>
      <c r="D49" s="16" t="inlineStr">
        <is>
          <t>1</t>
        </is>
      </c>
      <c r="E49" s="16" t="inlineStr"/>
    </row>
    <row r="50">
      <c r="A50" s="16" t="inlineStr">
        <is>
          <t>U201</t>
        </is>
      </c>
      <c r="B50" s="16" t="inlineStr">
        <is>
          <t>DKMW20F-15</t>
        </is>
      </c>
      <c r="C50" s="16" t="inlineStr"/>
      <c r="D50" s="16" t="inlineStr">
        <is>
          <t>1</t>
        </is>
      </c>
      <c r="E50" s="16" t="inlineStr"/>
    </row>
    <row r="51">
      <c r="A51" s="16" t="inlineStr">
        <is>
          <t>U202</t>
        </is>
      </c>
      <c r="B51" s="16" t="inlineStr">
        <is>
          <t>LM7809 +9V</t>
        </is>
      </c>
      <c r="C51" s="16" t="inlineStr"/>
      <c r="D51" s="16" t="inlineStr">
        <is>
          <t>1</t>
        </is>
      </c>
      <c r="E51" s="16" t="inlineStr"/>
    </row>
    <row r="52">
      <c r="A52" s="16" t="inlineStr">
        <is>
          <t>U501</t>
        </is>
      </c>
      <c r="B52" s="16" t="inlineStr">
        <is>
          <t>Pico 2 / RP2350</t>
        </is>
      </c>
      <c r="C52" s="16" t="inlineStr"/>
      <c r="D52" s="16" t="inlineStr">
        <is>
          <t>1</t>
        </is>
      </c>
      <c r="E52" s="16" t="inlineStr"/>
    </row>
    <row r="53">
      <c r="A53" s="16" t="inlineStr">
        <is>
          <t>U502</t>
        </is>
      </c>
      <c r="B53" s="16" t="inlineStr">
        <is>
          <t>PT2314-D</t>
        </is>
      </c>
      <c r="C53" s="16" t="inlineStr"/>
      <c r="D53" s="16" t="inlineStr">
        <is>
          <t>1</t>
        </is>
      </c>
      <c r="E53" s="16" t="inlineStr"/>
    </row>
    <row r="54">
      <c r="A54" s="16" t="inlineStr">
        <is>
          <t>U503</t>
        </is>
      </c>
      <c r="B54" s="16" t="inlineStr">
        <is>
          <t>BP5293-50 +5V</t>
        </is>
      </c>
      <c r="C54" s="16" t="inlineStr"/>
      <c r="D54" s="16" t="inlineStr">
        <is>
          <t>1</t>
        </is>
      </c>
      <c r="E54" s="16" t="inlineStr"/>
    </row>
    <row r="55">
      <c r="A55" s="16" t="inlineStr">
        <is>
          <t>U701,U801,U901,U1001,U1101,U1201,U1301,U1401,U1501,U1601</t>
        </is>
      </c>
      <c r="B55" s="16" t="inlineStr">
        <is>
          <t>TMUX7612</t>
        </is>
      </c>
      <c r="C55" s="16" t="inlineStr">
        <is>
          <t>Package_SO:TSSOP-16_4.4x5mm_P0.65mm</t>
        </is>
      </c>
      <c r="D55" s="16" t="inlineStr">
        <is>
          <t>10</t>
        </is>
      </c>
      <c r="E55" s="16" t="inlineStr">
        <is>
          <t>4ch SPST; ch1/2=input L/R, ch3/4=output L/R</t>
        </is>
      </c>
    </row>
    <row r="56">
      <c r="A56" s="16" t="inlineStr">
        <is>
          <t>U_IO?</t>
        </is>
      </c>
      <c r="B56" s="16" t="inlineStr">
        <is>
          <t>MCP23017</t>
        </is>
      </c>
      <c r="C56" s="16" t="inlineStr">
        <is>
          <t>Package_DIP:DIP-28_W7.62mm</t>
        </is>
      </c>
      <c r="D56" s="16" t="inlineStr">
        <is>
          <t>1</t>
        </is>
      </c>
      <c r="E56" s="16" t="inlineStr">
        <is>
          <t>I2C GPIO expander; 10 SEL lines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2026-09-01T15:09:33Z</dcterms:created>
  <dcterms:modified xsi:type="dcterms:W3CDTF">2026-09-01T15:09:33Z</dcterms:modified>
</cp:coreProperties>
</file>